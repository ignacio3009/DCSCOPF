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Proyectos\DCSCOPF\"/>
    </mc:Choice>
  </mc:AlternateContent>
  <xr:revisionPtr revIDLastSave="0" documentId="13_ncr:1_{DA808A03-983D-4AC3-9474-92B6F19EAAE3}" xr6:coauthVersionLast="45" xr6:coauthVersionMax="45" xr10:uidLastSave="{00000000-0000-0000-0000-000000000000}"/>
  <bookViews>
    <workbookView xWindow="-120" yWindow="-120" windowWidth="20730" windowHeight="11160" xr2:uid="{85B00295-0744-41C0-9326-126AD080FF79}"/>
  </bookViews>
  <sheets>
    <sheet name="INFO" sheetId="1" r:id="rId1"/>
    <sheet name="DATA" sheetId="2" r:id="rId2"/>
    <sheet name="RESULTS" sheetId="3" r:id="rId3"/>
  </sheets>
  <functionGroups builtInGroupCount="19"/>
  <definedNames>
    <definedName name="AM">DATA!$B$1:$H$4</definedName>
    <definedName name="BM">DATA!$B$4:$H$7</definedName>
    <definedName name="COST">INFO!$D$2:$D$5</definedName>
    <definedName name="COSTSOL">RESULTS!$A$9</definedName>
    <definedName name="CRDOWN">INFO!$H$2:$H$5</definedName>
    <definedName name="CRUP">INFO!$G$2:$G$5</definedName>
    <definedName name="D">INFO!$I$2:$I$5</definedName>
    <definedName name="FMAXIJ">INFO!$O$2:$O$5</definedName>
    <definedName name="LSOL">RESULTS!$B$4:$H$4</definedName>
    <definedName name="NODEI">INFO!$L$2:$L$5</definedName>
    <definedName name="NODEJ">INFO!$M$2:$M$5</definedName>
    <definedName name="NUMLINES">INFO!$K$3:$K$5</definedName>
    <definedName name="NUMNODES">INFO!$A$3:$A$5</definedName>
    <definedName name="NUMSCEN">INFO!$R$6:$R$12</definedName>
    <definedName name="PMAX">INFO!$C$2:$C$5</definedName>
    <definedName name="PMIN">INFO!$B$2:$B$5</definedName>
    <definedName name="PSOL">RESULTS!$B$1:$H$1</definedName>
    <definedName name="RAMP_DOWN">INFO!$F$2:$F$5</definedName>
    <definedName name="RAMP_UP">INFO!$E$2:$E$5</definedName>
    <definedName name="X">INFO!$N$2:$N$5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3" l="1"/>
  <c r="D13" i="3"/>
  <c r="E13" i="3"/>
  <c r="F13" i="3"/>
  <c r="G13" i="3"/>
  <c r="H13" i="3"/>
  <c r="C14" i="3"/>
  <c r="D14" i="3"/>
  <c r="E14" i="3"/>
  <c r="F14" i="3"/>
  <c r="G14" i="3"/>
  <c r="H14" i="3"/>
  <c r="C15" i="3"/>
  <c r="D15" i="3"/>
  <c r="E15" i="3"/>
  <c r="F15" i="3"/>
  <c r="G15" i="3"/>
  <c r="H15" i="3"/>
  <c r="B15" i="3"/>
  <c r="B14" i="3"/>
  <c r="B13" i="3"/>
  <c r="D16" i="3" l="1"/>
  <c r="E16" i="3"/>
  <c r="F16" i="3"/>
  <c r="G16" i="3"/>
  <c r="C16" i="3"/>
  <c r="H16" i="3"/>
  <c r="B16" i="3"/>
  <c r="R3" i="1"/>
  <c r="R2" i="1"/>
</calcChain>
</file>

<file path=xl/sharedStrings.xml><?xml version="1.0" encoding="utf-8"?>
<sst xmlns="http://schemas.openxmlformats.org/spreadsheetml/2006/main" count="53" uniqueCount="32">
  <si>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</si>
  <si>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</si>
  <si>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</si>
  <si>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</si>
  <si>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</si>
  <si>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</si>
  <si>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</si>
  <si>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</si>
  <si>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</si>
  <si>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</si>
  <si>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</si>
  <si>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</si>
  <si>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</si>
  <si>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</si>
  <si>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</si>
  <si>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</si>
  <si>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</si>
  <si>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</si>
  <si>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</si>
  <si>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</si>
  <si>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</si>
  <si>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</si>
  <si>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</si>
  <si>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</si>
  <si>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</si>
  <si>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</si>
  <si>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</si>
  <si>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</si>
  <si>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</si>
  <si>
    <t>COSTS SOL</t>
  </si>
  <si>
    <t>COST RUP</t>
  </si>
  <si>
    <t>COST RDOWN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</si>
</sst>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164" fontId="0" fillId="0" borderId="0" xfId="0" applyNumberFormat="1" applyFont="1" applyAlignment="1">
      <alignment horizontal="center"/>
    </xf>
    <xf numFmtId="1" fontId="0" fillId="0" borderId="0" xfId="0" applyNumberFormat="1"/>
    <xf numFmtId="1" fontId="3" fillId="0" borderId="0" xfId="0" applyNumberFormat="1" applyFont="1"/>
    <xf numFmtId="0" fontId="0" fillId="0" borderId="0" xfId="0" applyFill="1"/>
    <xf numFmtId="1" fontId="0" fillId="0" borderId="0" xfId="0" applyNumberFormat="1" applyFill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47625</xdr:colOff>
      <xdr:row>0</xdr:row>
      <xdr:rowOff>142874</xdr:rowOff>
    </xdr:from>
    <xdr:to>
      <xdr:col>20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19050</xdr:rowOff>
        </xdr:to>
        <xdr:sp macro="" textlink="">
          <xdr:nvSpPr>
            <xdr:cNvPr id="1214" name="chb1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B56A9576-DF2F-4CD9-A993-259EAB427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19050</xdr:rowOff>
        </xdr:to>
        <xdr:sp macro="" textlink="">
          <xdr:nvSpPr>
            <xdr:cNvPr id="1215" name="chb2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4A4B2329-0403-4A93-9676-52F616F2B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19050</xdr:rowOff>
        </xdr:to>
        <xdr:sp macro="" textlink="">
          <xdr:nvSpPr>
            <xdr:cNvPr id="1216" name="chb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90A36427-B63A-49FF-9B64-4BD5CBB3F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19050</xdr:rowOff>
        </xdr:to>
        <xdr:sp macro="" textlink="">
          <xdr:nvSpPr>
            <xdr:cNvPr id="1217" name="chb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E28B655A-B3FD-41A1-8522-7E86C1026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0</xdr:rowOff>
        </xdr:from>
        <xdr:to>
          <xdr:col>19</xdr:col>
          <xdr:colOff>0</xdr:colOff>
          <xdr:row>11</xdr:row>
          <xdr:rowOff>19050</xdr:rowOff>
        </xdr:to>
        <xdr:sp macro="" textlink="">
          <xdr:nvSpPr>
            <xdr:cNvPr id="1218" name="chb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8FE7281A-31FD-4BC6-ABF7-F78DE1FB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19050</xdr:rowOff>
        </xdr:to>
        <xdr:sp macro="" textlink="">
          <xdr:nvSpPr>
            <xdr:cNvPr id="1219" name="chb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7F005748-B630-4A5C-B0D5-C3DB48909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R12"/>
  <sheetViews>
    <sheetView tabSelected="1" zoomScale="90" zoomScaleNormal="90" workbookViewId="0">
      <selection activeCell="D11" sqref="D11"/>
    </sheetView>
  </sheetViews>
  <sheetFormatPr baseColWidth="10" defaultRowHeight="15" x14ac:dyDescent="0.25"/>
  <cols>
    <col min="1" max="1" width="11.28515625" customWidth="1"/>
    <col min="2" max="2" width="5.85546875" bestFit="1" customWidth="1"/>
    <col min="3" max="3" width="6.28515625" bestFit="1" customWidth="1"/>
    <col min="4" max="4" width="6.5703125" bestFit="1" customWidth="1"/>
    <col min="5" max="5" width="14.85546875" bestFit="1" customWidth="1"/>
    <col min="6" max="6" width="18.5703125" bestFit="1" customWidth="1"/>
    <col min="7" max="7" width="9.5703125" bestFit="1" customWidth="1"/>
    <col min="8" max="8" width="13.140625" bestFit="1" customWidth="1"/>
    <col min="9" max="9" width="6" bestFit="1" customWidth="1"/>
    <col min="10" max="10" width="7.28515625" customWidth="1"/>
    <col min="11" max="11" width="10.28515625" bestFit="1" customWidth="1"/>
    <col min="12" max="12" width="7.140625" bestFit="1" customWidth="1"/>
    <col min="13" max="13" width="7.28515625" bestFit="1" customWidth="1"/>
    <col min="14" max="14" width="3.85546875" bestFit="1" customWidth="1"/>
    <col min="15" max="15" width="7.42578125" bestFit="1" customWidth="1"/>
    <col min="16" max="16" width="7.42578125" customWidth="1"/>
    <col min="17" max="17" width="11.42578125" style="3"/>
    <col min="18" max="18" width="2.140625" bestFit="1" customWidth="1"/>
  </cols>
  <sheetData>
    <row r="1" spans="1:18" x14ac:dyDescent="0.25">
      <c r="A1" s="1"/>
      <c r="B1" s="12" t="s">
        <v>0</v>
      </c>
      <c r="C1" s="12"/>
      <c r="D1" s="12"/>
      <c r="E1" s="12"/>
      <c r="F1" s="12"/>
      <c r="G1" s="12"/>
      <c r="H1" s="12"/>
      <c r="I1" s="2" t="s">
        <v>1</v>
      </c>
      <c r="K1" s="11" t="s">
        <v>2</v>
      </c>
      <c r="L1" s="11"/>
      <c r="M1" s="11"/>
      <c r="N1" s="11"/>
      <c r="O1" s="11"/>
    </row>
    <row r="2" spans="1:18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30</v>
      </c>
      <c r="H2" s="1" t="s">
        <v>31</v>
      </c>
      <c r="I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Q2" s="3" t="s">
        <v>3</v>
      </c>
      <c r="R2" s="1">
        <f>COUNT(A:A)</f>
        <v>3</v>
      </c>
    </row>
    <row r="3" spans="1:18" x14ac:dyDescent="0.25">
      <c r="A3" s="1">
        <v>1</v>
      </c>
      <c r="B3" s="1">
        <v>10</v>
      </c>
      <c r="C3" s="1">
        <v>100</v>
      </c>
      <c r="D3" s="1">
        <v>30</v>
      </c>
      <c r="E3" s="1">
        <v>100</v>
      </c>
      <c r="F3" s="1">
        <v>100</v>
      </c>
      <c r="G3" s="1">
        <v>10</v>
      </c>
      <c r="H3" s="1">
        <v>10</v>
      </c>
      <c r="I3" s="1">
        <v>0</v>
      </c>
      <c r="K3" s="1">
        <v>1</v>
      </c>
      <c r="L3">
        <v>1</v>
      </c>
      <c r="M3">
        <v>2</v>
      </c>
      <c r="N3" s="4">
        <v>1</v>
      </c>
      <c r="O3" s="1">
        <v>50</v>
      </c>
      <c r="Q3" s="3" t="s">
        <v>8</v>
      </c>
      <c r="R3" s="1">
        <f>COUNT(K:K)</f>
        <v>3</v>
      </c>
    </row>
    <row r="4" spans="1:18" x14ac:dyDescent="0.25">
      <c r="A4" s="1">
        <v>2</v>
      </c>
      <c r="B4" s="1">
        <v>10</v>
      </c>
      <c r="C4" s="1">
        <v>150</v>
      </c>
      <c r="D4" s="1">
        <v>60</v>
      </c>
      <c r="E4" s="1">
        <v>100</v>
      </c>
      <c r="F4" s="1">
        <v>100</v>
      </c>
      <c r="G4" s="1">
        <v>10</v>
      </c>
      <c r="H4" s="1">
        <v>10</v>
      </c>
      <c r="I4" s="1">
        <v>100</v>
      </c>
      <c r="K4" s="1">
        <v>2</v>
      </c>
      <c r="L4">
        <v>2</v>
      </c>
      <c r="M4">
        <v>3</v>
      </c>
      <c r="N4" s="4">
        <v>1</v>
      </c>
      <c r="O4" s="1">
        <v>100</v>
      </c>
    </row>
    <row r="5" spans="1:18" x14ac:dyDescent="0.25">
      <c r="A5" s="1">
        <v>3</v>
      </c>
      <c r="B5" s="1">
        <v>10</v>
      </c>
      <c r="C5" s="1">
        <v>150</v>
      </c>
      <c r="D5" s="1">
        <v>120</v>
      </c>
      <c r="E5" s="1">
        <v>100</v>
      </c>
      <c r="F5" s="1">
        <v>100</v>
      </c>
      <c r="G5" s="1">
        <v>10</v>
      </c>
      <c r="H5" s="1">
        <v>10</v>
      </c>
      <c r="I5" s="1">
        <v>100</v>
      </c>
      <c r="K5" s="1">
        <v>3</v>
      </c>
      <c r="L5">
        <v>3</v>
      </c>
      <c r="M5">
        <v>1</v>
      </c>
      <c r="N5" s="6">
        <v>1</v>
      </c>
      <c r="O5" s="1">
        <v>100</v>
      </c>
    </row>
    <row r="6" spans="1:18" x14ac:dyDescent="0.25">
      <c r="A6" s="1"/>
      <c r="C6" s="5"/>
      <c r="O6" s="5"/>
      <c r="Q6" s="3" t="s">
        <v>25</v>
      </c>
      <c r="R6">
        <v>0</v>
      </c>
    </row>
    <row r="7" spans="1:18" x14ac:dyDescent="0.25">
      <c r="Q7" s="3" t="s">
        <v>13</v>
      </c>
      <c r="R7">
        <v>1</v>
      </c>
    </row>
    <row r="8" spans="1:18" x14ac:dyDescent="0.25">
      <c r="Q8" s="3" t="s">
        <v>14</v>
      </c>
      <c r="R8">
        <v>2</v>
      </c>
    </row>
    <row r="9" spans="1:18" x14ac:dyDescent="0.25">
      <c r="Q9" s="3" t="s">
        <v>15</v>
      </c>
      <c r="R9">
        <v>3</v>
      </c>
    </row>
    <row r="10" spans="1:18" x14ac:dyDescent="0.25">
      <c r="Q10" s="3" t="s">
        <v>16</v>
      </c>
      <c r="R10">
        <v>4</v>
      </c>
    </row>
    <row r="11" spans="1:18" x14ac:dyDescent="0.25">
      <c r="Q11" s="3" t="s">
        <v>17</v>
      </c>
      <c r="R11">
        <v>5</v>
      </c>
    </row>
    <row r="12" spans="1:18" x14ac:dyDescent="0.25">
      <c r="Q12" s="3" t="s">
        <v>18</v>
      </c>
      <c r="R12">
        <v>6</v>
      </c>
    </row>
  </sheetData>
  <mergeCells count="2">
    <mergeCell ref="K1:O1"/>
    <mergeCell ref="B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4" r:id="rId4" name="chb1">
              <controlPr defaultSize="0" autoFill="0" autoLine="0" autoPict="0" macro="[0]!'changeContingencyStatus &quot;7&quot;'">
                <anchor moveWithCells="1">
                  <from>
                    <xdr:col>18</xdr:col>
                    <xdr:colOff>0</xdr:colOff>
                    <xdr:row>6</xdr:row>
                    <xdr:rowOff>0</xdr:rowOff>
                  </from>
                  <to>
                    <xdr:col>19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5" name="chb2">
              <controlPr defaultSize="0" autoFill="0" autoLine="0" autoPict="0" macro="[0]!'changeContingencyStatus &quot;8&quot;'">
                <anchor mov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6" name="chb3">
              <controlPr defaultSize="0" autoFill="0" autoLine="0" autoPict="0" macro="[0]!'changeContingencyStatus &quot;9&quot;'">
                <anchor mov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19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7" name="chb4">
              <controlPr defaultSize="0" autoFill="0" autoLine="0" autoPict="0" macro="[0]!'changeContingencyStatus &quot;10&quot;'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8" name="chb5">
              <controlPr defaultSize="0" autoFill="0" autoLine="0" autoPict="0" macro="[0]!'changeContingencyStatus &quot;11&quot;'">
                <anchor mov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9" name="chb6">
              <controlPr defaultSize="0" autoFill="0" autoLine="0" autoPict="0" macro="[0]!'changeContingencyStatus &quot;12&quot;'">
                <anchor mov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19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B4" sqref="B4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EBC4B-911D-44C5-9924-C619E48E0AB5}">
  <sheetPr codeName="Hoja3"/>
  <dimension ref="A1:H16"/>
  <sheetViews>
    <sheetView workbookViewId="0">
      <selection activeCell="J9" sqref="J8:J9"/>
    </sheetView>
  </sheetViews>
  <sheetFormatPr baseColWidth="10" defaultRowHeight="15" x14ac:dyDescent="0.25"/>
  <cols>
    <col min="2" max="5" width="12.7109375" bestFit="1" customWidth="1"/>
    <col min="6" max="6" width="12.42578125" bestFit="1" customWidth="1"/>
    <col min="7" max="8" width="12.5703125" bestFit="1" customWidth="1"/>
  </cols>
  <sheetData>
    <row r="1" spans="1:8" x14ac:dyDescent="0.25">
      <c r="B1" t="s">
        <v>26</v>
      </c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</row>
    <row r="2" spans="1:8" x14ac:dyDescent="0.25">
      <c r="A2" t="s">
        <v>13</v>
      </c>
      <c r="B2" s="7">
        <v>99.999999999999943</v>
      </c>
      <c r="C2" s="10">
        <v>0</v>
      </c>
      <c r="D2" s="10">
        <v>49.999999999999972</v>
      </c>
      <c r="E2" s="10">
        <v>100</v>
      </c>
      <c r="F2" s="10">
        <v>100</v>
      </c>
      <c r="G2" s="10">
        <v>50</v>
      </c>
      <c r="H2" s="10">
        <v>50</v>
      </c>
    </row>
    <row r="3" spans="1:8" x14ac:dyDescent="0.25">
      <c r="A3" t="s">
        <v>14</v>
      </c>
      <c r="B3" s="7">
        <v>50.000000000000028</v>
      </c>
      <c r="C3" s="10">
        <v>50</v>
      </c>
      <c r="D3" s="10">
        <v>0</v>
      </c>
      <c r="E3" s="10">
        <v>100</v>
      </c>
      <c r="F3" s="10">
        <v>50.000000000000028</v>
      </c>
      <c r="G3" s="10">
        <v>50</v>
      </c>
      <c r="H3" s="10">
        <v>50.000000000000028</v>
      </c>
    </row>
    <row r="4" spans="1:8" x14ac:dyDescent="0.25">
      <c r="A4" t="s">
        <v>15</v>
      </c>
      <c r="B4" s="7">
        <v>50.000000000000028</v>
      </c>
      <c r="C4" s="10">
        <v>150</v>
      </c>
      <c r="D4" s="10">
        <v>150.00000000000003</v>
      </c>
      <c r="E4" s="10">
        <v>0</v>
      </c>
      <c r="F4" s="10">
        <v>49.999999999999972</v>
      </c>
      <c r="G4" s="10">
        <v>100</v>
      </c>
      <c r="H4" s="10">
        <v>99.999999999999972</v>
      </c>
    </row>
    <row r="5" spans="1:8" x14ac:dyDescent="0.25">
      <c r="A5" t="s">
        <v>16</v>
      </c>
      <c r="B5" s="7">
        <v>49.999999999999972</v>
      </c>
      <c r="C5" s="10">
        <v>16.666666666666664</v>
      </c>
      <c r="D5" s="10">
        <v>49.999999999999993</v>
      </c>
      <c r="E5" s="10">
        <v>33.333333333333343</v>
      </c>
      <c r="F5" s="10">
        <v>0</v>
      </c>
      <c r="G5" s="10">
        <v>50</v>
      </c>
      <c r="H5" s="10">
        <v>50</v>
      </c>
    </row>
    <row r="6" spans="1:8" x14ac:dyDescent="0.25">
      <c r="A6" t="s">
        <v>17</v>
      </c>
      <c r="B6" s="7">
        <v>0</v>
      </c>
      <c r="C6" s="10">
        <v>-33.333333333333329</v>
      </c>
      <c r="D6" s="10">
        <v>-50.000000000000007</v>
      </c>
      <c r="E6" s="10">
        <v>33.333333333333329</v>
      </c>
      <c r="F6" s="10">
        <v>-49.999999999999972</v>
      </c>
      <c r="G6" s="10">
        <v>0</v>
      </c>
      <c r="H6" s="10">
        <v>2.8421709430404007E-14</v>
      </c>
    </row>
    <row r="7" spans="1:8" x14ac:dyDescent="0.25">
      <c r="A7" t="s">
        <v>18</v>
      </c>
      <c r="B7" s="7">
        <v>-49.999999999999972</v>
      </c>
      <c r="C7" s="10">
        <v>16.666666666666664</v>
      </c>
      <c r="D7" s="10">
        <v>1.4210854715202004E-14</v>
      </c>
      <c r="E7" s="10">
        <v>-66.666666666666671</v>
      </c>
      <c r="F7" s="10">
        <v>-100</v>
      </c>
      <c r="G7" s="10">
        <v>0</v>
      </c>
      <c r="H7" s="10">
        <v>0</v>
      </c>
    </row>
    <row r="9" spans="1:8" x14ac:dyDescent="0.25">
      <c r="A9" t="s">
        <v>29</v>
      </c>
    </row>
    <row r="10" spans="1:8" x14ac:dyDescent="0.25">
      <c r="A10">
        <v>14000.000000000004</v>
      </c>
    </row>
    <row r="13" spans="1:8" x14ac:dyDescent="0.25">
      <c r="A13">
        <v>30</v>
      </c>
      <c r="B13" s="7">
        <f>$A$13*B2</f>
        <v>2999.9999999999982</v>
      </c>
      <c r="C13" s="7">
        <f t="shared" ref="C13:H13" si="0">$A$13*C2</f>
        <v>0</v>
      </c>
      <c r="D13" s="7">
        <f t="shared" si="0"/>
        <v>1499.9999999999991</v>
      </c>
      <c r="E13" s="7">
        <f t="shared" si="0"/>
        <v>3000</v>
      </c>
      <c r="F13" s="7">
        <f t="shared" si="0"/>
        <v>3000</v>
      </c>
      <c r="G13" s="7">
        <f t="shared" si="0"/>
        <v>1500</v>
      </c>
      <c r="H13" s="7">
        <f t="shared" si="0"/>
        <v>1500</v>
      </c>
    </row>
    <row r="14" spans="1:8" x14ac:dyDescent="0.25">
      <c r="A14">
        <v>60</v>
      </c>
      <c r="B14" s="7">
        <f>$A$14*B3</f>
        <v>3000.0000000000018</v>
      </c>
      <c r="C14" s="7">
        <f t="shared" ref="C14:H14" si="1">$A$14*C3</f>
        <v>3000</v>
      </c>
      <c r="D14" s="7">
        <f t="shared" si="1"/>
        <v>0</v>
      </c>
      <c r="E14" s="7">
        <f t="shared" si="1"/>
        <v>6000</v>
      </c>
      <c r="F14" s="7">
        <f t="shared" si="1"/>
        <v>3000.0000000000018</v>
      </c>
      <c r="G14" s="7">
        <f t="shared" si="1"/>
        <v>3000</v>
      </c>
      <c r="H14" s="7">
        <f t="shared" si="1"/>
        <v>3000.0000000000018</v>
      </c>
    </row>
    <row r="15" spans="1:8" x14ac:dyDescent="0.25">
      <c r="A15">
        <v>120</v>
      </c>
      <c r="B15" s="7">
        <f>$A$15*B4</f>
        <v>6000.0000000000036</v>
      </c>
      <c r="C15" s="7">
        <f t="shared" ref="C15:H15" si="2">$A$15*C4</f>
        <v>18000</v>
      </c>
      <c r="D15" s="7">
        <f t="shared" si="2"/>
        <v>18000.000000000004</v>
      </c>
      <c r="E15" s="7">
        <f t="shared" si="2"/>
        <v>0</v>
      </c>
      <c r="F15" s="7">
        <f t="shared" si="2"/>
        <v>5999.9999999999964</v>
      </c>
      <c r="G15" s="7">
        <f t="shared" si="2"/>
        <v>12000</v>
      </c>
      <c r="H15" s="7">
        <f t="shared" si="2"/>
        <v>11999.999999999996</v>
      </c>
    </row>
    <row r="16" spans="1:8" x14ac:dyDescent="0.25">
      <c r="B16" s="8">
        <f>SUM(B13:B15)</f>
        <v>12000.000000000004</v>
      </c>
      <c r="C16" s="8">
        <f t="shared" ref="C16:H16" si="3">SUM(C13:C15)</f>
        <v>21000</v>
      </c>
      <c r="D16" s="8">
        <f t="shared" si="3"/>
        <v>19500.000000000004</v>
      </c>
      <c r="E16" s="8">
        <f t="shared" si="3"/>
        <v>9000</v>
      </c>
      <c r="F16" s="8">
        <f t="shared" si="3"/>
        <v>11999.999999999998</v>
      </c>
      <c r="G16" s="8">
        <f t="shared" si="3"/>
        <v>16500</v>
      </c>
      <c r="H16" s="8">
        <f t="shared" si="3"/>
        <v>16500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20</vt:i4>
      </vt:variant>
    </vt:vector>
  </HeadingPairs>
  <TitlesOfParts>
    <vt:vector size="23" baseType="lpstr">
      <vt:lpstr>INFO</vt:lpstr>
      <vt:lpstr>DATA</vt:lpstr>
      <vt:lpstr>RESULTS</vt:lpstr>
      <vt:lpstr>AM</vt:lpstr>
      <vt:lpstr>BM</vt:lpstr>
      <vt:lpstr>COST</vt:lpstr>
      <vt:lpstr>COSTSOL</vt:lpstr>
      <vt:lpstr>CRDOWN</vt:lpstr>
      <vt:lpstr>CRUP</vt:lpstr>
      <vt:lpstr>D</vt:lpstr>
      <vt:lpstr>FMAXIJ</vt:lpstr>
      <vt:lpstr>LSOL</vt:lpstr>
      <vt:lpstr>NODEI</vt:lpstr>
      <vt:lpstr>NODEJ</vt:lpstr>
      <vt:lpstr>NUMLINES</vt:lpstr>
      <vt:lpstr>NUMNODES</vt:lpstr>
      <vt:lpstr>NUMSCEN</vt:lpstr>
      <vt:lpstr>PMAX</vt:lpstr>
      <vt:lpstr>PMIN</vt:lpstr>
      <vt:lpstr>PSOL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2019-12-07T18:59:55Z</dcterms:modified>
</cp:coreProperties>
</file>